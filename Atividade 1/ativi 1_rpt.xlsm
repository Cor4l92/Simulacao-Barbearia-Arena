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ndr\Downloads\Arena\atividade 1\"/>
    </mc:Choice>
  </mc:AlternateContent>
  <xr:revisionPtr revIDLastSave="0" documentId="13_ncr:1_{66152EB3-F4D8-4178-AEBE-78AC1FB0D50A}" xr6:coauthVersionLast="47" xr6:coauthVersionMax="47" xr10:uidLastSave="{00000000-0000-0000-0000-000000000000}"/>
  <bookViews>
    <workbookView xWindow="-108" yWindow="-108" windowWidth="23256" windowHeight="1245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ContinuousTimeStatsByRep!$A$1:$L$14</definedName>
    <definedName name="ExternalData_1" localSheetId="4" hidden="1">CounterStatsByRep!$A$1:$G$2</definedName>
    <definedName name="ExternalData_1" localSheetId="2" hidden="1">DiscreteTimeStatsByRep!$A$1:$K$10</definedName>
    <definedName name="ExternalData_1" localSheetId="6" hidden="1">FrequencyStatsByRep!$A$1:$K$2</definedName>
    <definedName name="ExternalData_1" localSheetId="5" hidden="1">OutputStatsByRep!$A$1:$H$10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K5" i="20" s="1" a="1"/>
  <c r="K5" i="20" s="1"/>
  <c r="I7" i="20"/>
  <c r="K4" i="20" s="1" a="1"/>
  <c r="K4" i="20" s="1"/>
  <c r="I8" i="20"/>
  <c r="I9" i="20"/>
  <c r="L9" i="20" s="1" a="1"/>
  <c r="L9" i="20" s="1"/>
  <c r="I10" i="20"/>
  <c r="L10" i="20" s="1" a="1"/>
  <c r="L10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K6" i="20" a="1"/>
  <c r="K6" i="20" s="1"/>
  <c r="L5" i="20" a="1"/>
  <c r="L5" i="20" s="1"/>
  <c r="L7" i="20" a="1"/>
  <c r="L7" i="20" s="1"/>
  <c r="L8" i="20" a="1"/>
  <c r="L8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O3" i="20" a="1"/>
  <c r="O3" i="20" s="1"/>
  <c r="O7" i="20" a="1"/>
  <c r="O7" i="20" s="1"/>
  <c r="P3" i="20" a="1"/>
  <c r="P3" i="20" s="1"/>
  <c r="P8" i="20" a="1"/>
  <c r="P8" i="20" s="1"/>
  <c r="P9" i="20" a="1"/>
  <c r="P9" i="20" s="1"/>
  <c r="P10" i="20" a="1"/>
  <c r="P10" i="20" s="1"/>
  <c r="M2" i="18"/>
  <c r="M3" i="18"/>
  <c r="M4" i="18"/>
  <c r="M5" i="18"/>
  <c r="M6" i="18"/>
  <c r="M7" i="18"/>
  <c r="S9" i="18" s="1" a="1"/>
  <c r="S9" i="18" s="1"/>
  <c r="M8" i="18"/>
  <c r="M9" i="18"/>
  <c r="M10" i="18"/>
  <c r="M11" i="18"/>
  <c r="M12" i="18"/>
  <c r="O12" i="18" s="1" a="1"/>
  <c r="O12" i="18" s="1"/>
  <c r="M13" i="18"/>
  <c r="M14" i="18"/>
  <c r="O14" i="18" s="1" a="1"/>
  <c r="O14" i="18" s="1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O9" i="18" a="1"/>
  <c r="O9" i="18" s="1"/>
  <c r="P5" i="18" a="1"/>
  <c r="P5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S8" i="18" a="1"/>
  <c r="S8" i="18" s="1"/>
  <c r="S12" i="18" a="1"/>
  <c r="S12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 s="1"/>
  <c r="T14" i="18" a="1"/>
  <c r="T14" i="18" s="1"/>
  <c r="L2" i="17"/>
  <c r="L3" i="17"/>
  <c r="L4" i="17"/>
  <c r="L5" i="17"/>
  <c r="L6" i="17"/>
  <c r="U4" i="17" s="1" a="1"/>
  <c r="U4" i="17" s="1"/>
  <c r="L7" i="17"/>
  <c r="L9" i="17"/>
  <c r="L8" i="17"/>
  <c r="L10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9" i="17" a="1"/>
  <c r="M9" i="17" s="1"/>
  <c r="M8" i="17" a="1"/>
  <c r="M8" i="17" s="1"/>
  <c r="M10" i="17" a="1"/>
  <c r="M10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9" i="17" a="1"/>
  <c r="P9" i="17" s="1"/>
  <c r="P8" i="17" a="1"/>
  <c r="P8" i="17" s="1"/>
  <c r="P10" i="17" a="1"/>
  <c r="P10" i="17" s="1"/>
  <c r="R7" i="17" a="1"/>
  <c r="R7" i="17" s="1"/>
  <c r="S7" i="17" a="1"/>
  <c r="S7" i="17" s="1"/>
  <c r="T2" i="17" a="1"/>
  <c r="T2" i="17" s="1"/>
  <c r="T9" i="17" a="1"/>
  <c r="T9" i="17" s="1"/>
  <c r="T8" i="17" a="1"/>
  <c r="T8" i="17" s="1"/>
  <c r="U2" i="17" a="1"/>
  <c r="U2" i="17" s="1"/>
  <c r="U6" i="17" a="1"/>
  <c r="U6" i="17" s="1"/>
  <c r="U8" i="17" a="1"/>
  <c r="U8" i="17" s="1"/>
  <c r="V6" i="17" a="1"/>
  <c r="V6" i="17" s="1"/>
  <c r="V7" i="17" a="1"/>
  <c r="V7" i="17" s="1"/>
  <c r="V8" i="17" a="1"/>
  <c r="V8" i="17" s="1"/>
  <c r="X2" i="17" a="1"/>
  <c r="X2" i="17" s="1"/>
  <c r="X3" i="17" a="1"/>
  <c r="X3" i="17" s="1"/>
  <c r="X4" i="17" a="1"/>
  <c r="X4" i="17" s="1"/>
  <c r="X5" i="17" a="1"/>
  <c r="X5" i="17" s="1"/>
  <c r="X8" i="17" a="1"/>
  <c r="X8" i="17" s="1"/>
  <c r="X10" i="17" a="1"/>
  <c r="X10" i="17" s="1"/>
  <c r="G2" i="16"/>
  <c r="O4" i="20" l="1" a="1"/>
  <c r="O4" i="20" s="1"/>
  <c r="L6" i="20" a="1"/>
  <c r="L6" i="20" s="1"/>
  <c r="N6" i="20" s="1"/>
  <c r="N5" i="20"/>
  <c r="L4" i="20" a="1"/>
  <c r="L4" i="20" s="1"/>
  <c r="N4" i="20" s="1"/>
  <c r="L3" i="20" a="1"/>
  <c r="L3" i="20" s="1"/>
  <c r="N3" i="20" s="1"/>
  <c r="L2" i="20" a="1"/>
  <c r="L2" i="20" s="1"/>
  <c r="N2" i="20" s="1"/>
  <c r="P7" i="20" a="1"/>
  <c r="P7" i="20" s="1"/>
  <c r="K10" i="20" a="1"/>
  <c r="K10" i="20" s="1"/>
  <c r="N7" i="20"/>
  <c r="K8" i="20" a="1"/>
  <c r="K8" i="20" s="1"/>
  <c r="P6" i="20" a="1"/>
  <c r="P6" i="20" s="1"/>
  <c r="K7" i="20" a="1"/>
  <c r="K7" i="20" s="1"/>
  <c r="K3" i="20" a="1"/>
  <c r="K3" i="20" s="1"/>
  <c r="O5" i="20" a="1"/>
  <c r="O5" i="20" s="1"/>
  <c r="K2" i="20" a="1"/>
  <c r="K2" i="20" s="1"/>
  <c r="O10" i="20" a="1"/>
  <c r="O10" i="20" s="1"/>
  <c r="P2" i="20" a="1"/>
  <c r="P2" i="20" s="1"/>
  <c r="N8" i="20"/>
  <c r="N10" i="20"/>
  <c r="N9" i="20"/>
  <c r="O2" i="20" a="1"/>
  <c r="O2" i="20" s="1"/>
  <c r="K9" i="20" a="1"/>
  <c r="K9" i="20" s="1"/>
  <c r="O9" i="20" a="1"/>
  <c r="O9" i="20" s="1"/>
  <c r="O8" i="20" a="1"/>
  <c r="O8" i="20" s="1"/>
  <c r="P5" i="20" a="1"/>
  <c r="P5" i="20" s="1"/>
  <c r="O6" i="20" a="1"/>
  <c r="O6" i="20" s="1"/>
  <c r="P4" i="20" a="1"/>
  <c r="P4" i="20" s="1"/>
  <c r="O11" i="18" a="1"/>
  <c r="O11" i="18" s="1"/>
  <c r="O10" i="18" a="1"/>
  <c r="O10" i="18" s="1"/>
  <c r="O6" i="18" a="1"/>
  <c r="O6" i="18" s="1"/>
  <c r="O5" i="18" a="1"/>
  <c r="O5" i="18" s="1"/>
  <c r="O4" i="18" a="1"/>
  <c r="O4" i="18" s="1"/>
  <c r="P9" i="18" a="1"/>
  <c r="P9" i="18" s="1"/>
  <c r="P8" i="18" a="1"/>
  <c r="P8" i="18" s="1"/>
  <c r="P7" i="18" a="1"/>
  <c r="P7" i="18" s="1"/>
  <c r="T3" i="18" a="1"/>
  <c r="T3" i="18" s="1"/>
  <c r="P6" i="18" a="1"/>
  <c r="P6" i="18" s="1"/>
  <c r="R6" i="18" s="1"/>
  <c r="T2" i="18" a="1"/>
  <c r="T2" i="18" s="1"/>
  <c r="P4" i="18" a="1"/>
  <c r="P4" i="18" s="1"/>
  <c r="R4" i="18" s="1"/>
  <c r="P3" i="18" a="1"/>
  <c r="P3" i="18" s="1"/>
  <c r="R3" i="18" s="1"/>
  <c r="S14" i="18" a="1"/>
  <c r="S14" i="18" s="1"/>
  <c r="O13" i="18" a="1"/>
  <c r="O13" i="18" s="1"/>
  <c r="S13" i="18" a="1"/>
  <c r="S13" i="18" s="1"/>
  <c r="U3" i="18"/>
  <c r="R14" i="18"/>
  <c r="U14" i="18"/>
  <c r="R13" i="18"/>
  <c r="U13" i="18"/>
  <c r="U12" i="18"/>
  <c r="R12" i="18"/>
  <c r="R11" i="18"/>
  <c r="U11" i="18"/>
  <c r="R9" i="18"/>
  <c r="U9" i="18"/>
  <c r="R8" i="18"/>
  <c r="U8" i="18"/>
  <c r="R7" i="18"/>
  <c r="U7" i="18"/>
  <c r="R10" i="18"/>
  <c r="U10" i="18"/>
  <c r="U6" i="18"/>
  <c r="U4" i="18"/>
  <c r="U2" i="18"/>
  <c r="R5" i="18"/>
  <c r="U5" i="18"/>
  <c r="S7" i="18" a="1"/>
  <c r="S7" i="18" s="1"/>
  <c r="S6" i="18" a="1"/>
  <c r="S6" i="18" s="1"/>
  <c r="O3" i="18" a="1"/>
  <c r="O3" i="18" s="1"/>
  <c r="S5" i="18" a="1"/>
  <c r="S5" i="18" s="1"/>
  <c r="O2" i="18" a="1"/>
  <c r="O2" i="18" s="1"/>
  <c r="S4" i="18" a="1"/>
  <c r="S4" i="18" s="1"/>
  <c r="S11" i="18" a="1"/>
  <c r="S11" i="18" s="1"/>
  <c r="S3" i="18" a="1"/>
  <c r="S3" i="18" s="1"/>
  <c r="O8" i="18" a="1"/>
  <c r="O8" i="18" s="1"/>
  <c r="S10" i="18" a="1"/>
  <c r="S10" i="18" s="1"/>
  <c r="S2" i="18" a="1"/>
  <c r="S2" i="18" s="1"/>
  <c r="P2" i="18" a="1"/>
  <c r="P2" i="18" s="1"/>
  <c r="R2" i="18" s="1"/>
  <c r="O7" i="18" a="1"/>
  <c r="O7" i="18" s="1"/>
  <c r="T4" i="18" a="1"/>
  <c r="T4" i="18" s="1"/>
  <c r="R4" i="17" a="1"/>
  <c r="R4" i="17" s="1"/>
  <c r="R3" i="17" a="1"/>
  <c r="R3" i="17" s="1"/>
  <c r="V10" i="17" a="1"/>
  <c r="V10" i="17" s="1"/>
  <c r="T6" i="17" a="1"/>
  <c r="T6" i="17" s="1"/>
  <c r="T5" i="17" a="1"/>
  <c r="T5" i="17" s="1"/>
  <c r="T3" i="17" a="1"/>
  <c r="T3" i="17" s="1"/>
  <c r="N10" i="17" a="1"/>
  <c r="N10" i="17" s="1"/>
  <c r="V5" i="17" a="1"/>
  <c r="V5" i="17" s="1"/>
  <c r="S10" i="17" a="1"/>
  <c r="S10" i="17" s="1"/>
  <c r="V3" i="17" a="1"/>
  <c r="V3" i="17" s="1"/>
  <c r="S8" i="17" a="1"/>
  <c r="S8" i="17" s="1"/>
  <c r="U10" i="17" a="1"/>
  <c r="U10" i="17" s="1"/>
  <c r="S9" i="17" a="1"/>
  <c r="S9" i="17" s="1"/>
  <c r="O4" i="17" a="1"/>
  <c r="O4" i="17" s="1"/>
  <c r="X9" i="17" a="1"/>
  <c r="X9" i="17" s="1"/>
  <c r="Y9" i="17" s="1"/>
  <c r="Q9" i="17" s="1"/>
  <c r="U9" i="17" a="1"/>
  <c r="U9" i="17" s="1"/>
  <c r="O10" i="17" a="1"/>
  <c r="O10" i="17" s="1"/>
  <c r="U7" i="17" a="1"/>
  <c r="U7" i="17" s="1"/>
  <c r="S6" i="17" a="1"/>
  <c r="S6" i="17" s="1"/>
  <c r="N7" i="17" a="1"/>
  <c r="N7" i="17" s="1"/>
  <c r="X7" i="17" a="1"/>
  <c r="X7" i="17" s="1"/>
  <c r="Y7" i="17" s="1"/>
  <c r="S2" i="17" a="1"/>
  <c r="S2" i="17" s="1"/>
  <c r="X6" i="17" a="1"/>
  <c r="X6" i="17" s="1"/>
  <c r="R10" i="17" a="1"/>
  <c r="R10" i="17" s="1"/>
  <c r="W7" i="17"/>
  <c r="O8" i="17" a="1"/>
  <c r="O8" i="17" s="1"/>
  <c r="O9" i="17" a="1"/>
  <c r="O9" i="17" s="1"/>
  <c r="U5" i="17" a="1"/>
  <c r="U5" i="17" s="1"/>
  <c r="O7" i="17" a="1"/>
  <c r="O7" i="17" s="1"/>
  <c r="O6" i="17" a="1"/>
  <c r="O6" i="17" s="1"/>
  <c r="U3" i="17" a="1"/>
  <c r="U3" i="17" s="1"/>
  <c r="O3" i="17" a="1"/>
  <c r="O3" i="17" s="1"/>
  <c r="O2" i="17" a="1"/>
  <c r="O2" i="17" s="1"/>
  <c r="V9" i="17" a="1"/>
  <c r="V9" i="17" s="1"/>
  <c r="T10" i="17" a="1"/>
  <c r="T10" i="17" s="1"/>
  <c r="N4" i="17" a="1"/>
  <c r="N4" i="17" s="1"/>
  <c r="R5" i="17" a="1"/>
  <c r="R5" i="17" s="1"/>
  <c r="N3" i="17" a="1"/>
  <c r="N3" i="17" s="1"/>
  <c r="V4" i="17" a="1"/>
  <c r="V4" i="17" s="1"/>
  <c r="T7" i="17" a="1"/>
  <c r="T7" i="17" s="1"/>
  <c r="S3" i="17" a="1"/>
  <c r="S3" i="17" s="1"/>
  <c r="V2" i="17" a="1"/>
  <c r="V2" i="17" s="1"/>
  <c r="Y6" i="17"/>
  <c r="W6" i="17"/>
  <c r="Y4" i="17"/>
  <c r="Q4" i="17" s="1"/>
  <c r="W4" i="17"/>
  <c r="W3" i="17"/>
  <c r="Y3" i="17"/>
  <c r="Q3" i="17" s="1"/>
  <c r="W2" i="17"/>
  <c r="Y2" i="17"/>
  <c r="Q2" i="17" s="1"/>
  <c r="Y5" i="17"/>
  <c r="W5" i="17"/>
  <c r="Y10" i="17"/>
  <c r="Q10" i="17" s="1"/>
  <c r="W10" i="17"/>
  <c r="Y8" i="17"/>
  <c r="Q8" i="17" s="1"/>
  <c r="W8" i="17"/>
  <c r="W9" i="17"/>
  <c r="N2" i="17" a="1"/>
  <c r="N2" i="17" s="1"/>
  <c r="R2" i="17" a="1"/>
  <c r="R2" i="17" s="1"/>
  <c r="N8" i="17" a="1"/>
  <c r="N8" i="17" s="1"/>
  <c r="R8" i="17" a="1"/>
  <c r="R8" i="17" s="1"/>
  <c r="N9" i="17" a="1"/>
  <c r="N9" i="17" s="1"/>
  <c r="R9" i="17" a="1"/>
  <c r="R9" i="17" s="1"/>
  <c r="O5" i="17" a="1"/>
  <c r="O5" i="17" s="1"/>
  <c r="N6" i="17" a="1"/>
  <c r="N6" i="17" s="1"/>
  <c r="T4" i="17" a="1"/>
  <c r="T4" i="17" s="1"/>
  <c r="S5" i="17" a="1"/>
  <c r="S5" i="17" s="1"/>
  <c r="R6" i="17" a="1"/>
  <c r="R6" i="17" s="1"/>
  <c r="N5" i="17" a="1"/>
  <c r="N5" i="17" s="1"/>
  <c r="S4" i="17" a="1"/>
  <c r="S4" i="17" s="1"/>
  <c r="Q6" i="17" l="1"/>
  <c r="Q7" i="17"/>
  <c r="Q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sandr\downloads\arena\atividade 1\ativi 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sandr\downloads\arena\atividade 1\ativi 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sandr\downloads\arena\atividade 1\ativi 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sandr\downloads\arena\atividade 1\ativi 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sandr\downloads\arena\atividade 1\ativi 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sandr\downloads\arena\atividade 1\ativi 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<sst xmlns="http://schemas.openxmlformats.org/spreadsheetml/2006/main" count="405" uniqueCount="107">
  <si>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</si>
  <si>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</si>
  <si>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</si>
  <si>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</si>
  <si>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</si>
  <si>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</si>
  <si>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</si>
  <si>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</si>
  <si>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</si>
  <si>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</si>
  <si>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</si>
  <si>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</si>
  <si>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</si>
  <si>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</si>
  <si>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</si>
  <si>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</si>
  <si>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</si>
  <si>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</si>
  <si>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</si>
  <si>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</si>
  <si>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</si>
  <si>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</si>
  <si>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</si>
  <si>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</si>
  <si>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</si>
  <si>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</si>
  <si>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</si>
  <si>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</si>
  <si>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</si>
  <si>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</si>
  <si>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</si>
  <si>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</si>
  <si>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</si>
  <si>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</si>
  <si>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</si>
  <si>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</si>
  <si>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</si>
  <si>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</si>
  <si>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</si>
  <si>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</si>
  <si>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</si>
  <si>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</si>
  <si>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</si>
  <si>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</si>
  <si>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</si>
  <si>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</si>
  <si>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</si>
  <si>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</si>
  <si>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</si>
  <si>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</si>
  <si>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</si>
  <si>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</si>
  <si>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</si>
  <si>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</si>
  <si>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</si>
  <si>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</si>
  <si>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</si>
  <si>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</si>
  <si>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</si>
  <si>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</si>
  <si>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</si>
  <si>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</si>
  <si>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</si>
  <si>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</si>
  <si>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</si>
  <si>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</si>
  <si>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</si>
  <si>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</si>
  <si>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C:\Users\sandr\Downloads\Arena\atividade 1\ativi 1.p</t>
  </si>
  <si>
    <t>2025-07-03 20:26:22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</si>
  <si>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</si>
  <si>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</si>
  <si>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</si>
  <si>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</si>
  <si>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</si>
  <si>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</si>
  <si>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</si>
  <si>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</si>
  <si>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PROCESSO MAQ.A.Queue</t>
  </si>
  <si>
    <t>Waiting Time</t>
  </si>
  <si>
    <t>Queue</t>
  </si>
  <si>
    <t>Processo Inspecao.Queue</t>
  </si>
  <si>
    <t>Processo Reparo.Queue</t>
  </si>
  <si>
    <t>WIP</t>
  </si>
  <si>
    <t>Number Waiting</t>
  </si>
  <si>
    <t>Recurso_Inspecao</t>
  </si>
  <si>
    <t>Instantaneous Utilization</t>
  </si>
  <si>
    <t>Resource</t>
  </si>
  <si>
    <t>Number Busy</t>
  </si>
  <si>
    <t>Number Scheduled</t>
  </si>
  <si>
    <t>Recurso_MAQ_A</t>
  </si>
  <si>
    <t>Recurso_Reparo</t>
  </si>
  <si>
    <t>Entity 1.NumberIn</t>
  </si>
  <si>
    <t>Number In</t>
  </si>
  <si>
    <t>Entity 1.NumberOut</t>
  </si>
  <si>
    <t>Number Out</t>
  </si>
  <si>
    <t>Recurso_Inspecao.NumberSeized</t>
  </si>
  <si>
    <t>Total Number Seized</t>
  </si>
  <si>
    <t>Recurso_Inspecao.ScheduledUtilization</t>
  </si>
  <si>
    <t>Scheduled Utilization</t>
  </si>
  <si>
    <t>Recurso_MAQ_A.NumberSeized</t>
  </si>
  <si>
    <t>Recurso_MAQ_A.ScheduledUtilization</t>
  </si>
  <si>
    <t>Recurso_Reparo.NumberSeized</t>
  </si>
  <si>
    <t>Recurso_Reparo.ScheduledUtilization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</si>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</sst>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51723958331" createdVersion="7" refreshedVersion="8" minRefreshableVersion="3" recordCount="13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0">
        <s v="Entity 1"/>
        <s v="PROCESSO MAQ.A.Queue"/>
        <s v="Processo Inspecao.Queue"/>
        <s v="Processo Reparo.Queue"/>
        <s v="Recurso_Inspecao"/>
        <s v="Recurso_MAQ_A"/>
        <s v="Recurso_Repar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" maxValue="3.95142666371698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7"/>
    </cacheField>
    <cacheField name="LastRecordedValue" numFmtId="0">
      <sharedItems containsSemiMixedTypes="0" containsString="0" containsNumber="1" containsInteg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.95142666371698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.9514266637169801"/>
    </cacheField>
    <cacheField name="MaximumAverage" numFmtId="0">
      <sharedItems containsSemiMixedTypes="0" containsString="0" containsNumber="1" minValue="0" maxValue="3.9514266637169801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5172407407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51724074077" createdVersion="7" refreshedVersion="8" minRefreshableVersion="3" recordCount="9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Entity 1"/>
        <s v="Processo Inspecao.Queue"/>
        <s v="PROCESSO MAQ.A.Queue"/>
        <s v="Processo Repar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.43783949383798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69954880455951396"/>
    </cacheField>
    <cacheField name="Maximum" numFmtId="0">
      <sharedItems containsSemiMixedTypes="0" containsString="0" containsNumber="1" minValue="0" maxValue="2.3187796193922598"/>
    </cacheField>
    <cacheField name="NumberObservations" numFmtId="0">
      <sharedItems containsSemiMixedTypes="0" containsString="0" containsNumber="1" containsInteger="1" minValue="10" maxValue="4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.43783949383798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.4378394938379899"/>
    </cacheField>
    <cacheField name="MaximumAverage" numFmtId="0">
      <sharedItems containsSemiMixedTypes="0" containsString="0" containsNumber="1" minValue="0" maxValue="1.4378394938379899"/>
    </cacheField>
    <cacheField name="OverallMinimum" numFmtId="0">
      <sharedItems containsSemiMixedTypes="0" containsString="0" containsNumber="1" minValue="0" maxValue="0.69954880455951396"/>
    </cacheField>
    <cacheField name="OverallMaximum" numFmtId="0">
      <sharedItems containsSemiMixedTypes="0" containsString="0" containsNumber="1" minValue="0" maxValue="2.3187796193922598"/>
    </cacheField>
    <cacheField name="AverageNumberObservations" numFmtId="0">
      <sharedItems containsSemiMixedTypes="0" containsString="0" containsNumber="1" containsInteger="1" minValue="10" maxValue="46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51724189815" createdVersion="7" refreshedVersion="8" minRefreshableVersion="3" recordCount="9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Entity 1.NumberIn"/>
        <s v="Entity 1.NumberOut"/>
        <s v="Recurso_Inspecao.NumberSeized"/>
        <s v="Recurso_Inspecao.ScheduledUtilization"/>
        <s v="Recurso_MAQ_A.NumberSeized"/>
        <s v="Recurso_MAQ_A.ScheduledUtilization"/>
        <s v="Recurso_Reparo.NumberSeized"/>
        <s v="Recurso_Reparo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129184286951673" maxValue="4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129184286951673" maxValue="47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129184286951673" maxValue="47"/>
    </cacheField>
    <cacheField name="Maximum" numFmtId="0">
      <sharedItems containsSemiMixedTypes="0" containsString="0" containsNumber="1" minValue="0.129184286951673" maxValue="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5172418981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5-07-03 20:26:22"/>
    <n v="1"/>
    <x v="0"/>
    <x v="0"/>
    <x v="0"/>
    <n v="3.9514266637169801"/>
    <n v="2E+20"/>
    <n v="0"/>
    <n v="7"/>
    <n v="3"/>
    <n v="0"/>
    <s v="Unnamed ProjectEntity 1WIPEntity"/>
    <n v="1"/>
    <n v="3.9514266637169801"/>
    <n v="0"/>
    <n v="0.95"/>
    <n v="4E+20"/>
    <n v="3.9514266637169801"/>
    <n v="3.9514266637169801"/>
    <n v="2E+20"/>
  </r>
  <r>
    <x v="0"/>
    <s v="2025-07-03 20:26:22"/>
    <n v="1"/>
    <x v="1"/>
    <x v="1"/>
    <x v="1"/>
    <n v="1.8249311352026401"/>
    <n v="2E+20"/>
    <n v="0"/>
    <n v="5"/>
    <n v="1"/>
    <n v="0"/>
    <s v="Unnamed ProjectPROCESSO MAQ.A.QueueNumber WaitingQueue"/>
    <n v="1"/>
    <n v="1.8249311352026401"/>
    <n v="0"/>
    <n v="0.95"/>
    <n v="4E+20"/>
    <n v="1.8249311352026401"/>
    <n v="1.8249311352026401"/>
    <n v="2E+20"/>
  </r>
  <r>
    <x v="0"/>
    <s v="2025-07-03 20:26:22"/>
    <n v="1"/>
    <x v="2"/>
    <x v="1"/>
    <x v="1"/>
    <n v="3.60602424485943E-2"/>
    <n v="2E+20"/>
    <n v="0"/>
    <n v="1"/>
    <n v="0"/>
    <n v="0"/>
    <s v="Unnamed ProjectProcesso Inspecao.QueueNumber WaitingQueue"/>
    <n v="1"/>
    <n v="3.60602424485943E-2"/>
    <n v="0"/>
    <n v="0.95"/>
    <n v="4E+20"/>
    <n v="3.60602424485943E-2"/>
    <n v="3.60602424485943E-2"/>
    <n v="2E+20"/>
  </r>
  <r>
    <x v="0"/>
    <s v="2025-07-03 20:26:22"/>
    <n v="1"/>
    <x v="3"/>
    <x v="1"/>
    <x v="1"/>
    <n v="0"/>
    <n v="2E+20"/>
    <n v="0"/>
    <n v="0"/>
    <n v="0"/>
    <n v="0"/>
    <s v="Unnamed ProjectProcesso Reparo.QueueNumber WaitingQueue"/>
    <n v="1"/>
    <n v="0"/>
    <n v="0"/>
    <n v="0.95"/>
    <n v="4E+20"/>
    <n v="0"/>
    <n v="0"/>
    <n v="2E+20"/>
  </r>
  <r>
    <x v="0"/>
    <s v="2025-07-03 20:26:22"/>
    <n v="1"/>
    <x v="4"/>
    <x v="2"/>
    <x v="2"/>
    <n v="0.77840723850676696"/>
    <n v="2E+20"/>
    <n v="0"/>
    <n v="1"/>
    <n v="1"/>
    <n v="0"/>
    <s v="Unnamed ProjectRecurso_InspecaoInstantaneous UtilizationResource"/>
    <n v="1"/>
    <n v="0.77840723850676696"/>
    <n v="0"/>
    <n v="0.95"/>
    <n v="4E+20"/>
    <n v="0.77840723850676696"/>
    <n v="0.77840723850676696"/>
    <n v="2E+20"/>
  </r>
  <r>
    <x v="0"/>
    <s v="2025-07-03 20:26:22"/>
    <n v="1"/>
    <x v="4"/>
    <x v="3"/>
    <x v="2"/>
    <n v="0.77840723850676696"/>
    <n v="2E+20"/>
    <n v="0"/>
    <n v="1"/>
    <n v="1"/>
    <n v="0"/>
    <s v="Unnamed ProjectRecurso_InspecaoNumber BusyResource"/>
    <n v="1"/>
    <n v="0.77840723850676696"/>
    <n v="0"/>
    <n v="0.95"/>
    <n v="4E+20"/>
    <n v="0.77840723850676696"/>
    <n v="0.77840723850676696"/>
    <n v="2E+20"/>
  </r>
  <r>
    <x v="0"/>
    <s v="2025-07-03 20:26:22"/>
    <n v="1"/>
    <x v="4"/>
    <x v="4"/>
    <x v="2"/>
    <n v="1"/>
    <n v="2E+20"/>
    <n v="1"/>
    <n v="1"/>
    <n v="1"/>
    <n v="0"/>
    <s v="Unnamed ProjectRecurso_InspecaoNumber ScheduledResource"/>
    <n v="1"/>
    <n v="1"/>
    <n v="0"/>
    <n v="0.95"/>
    <n v="4E+20"/>
    <n v="1"/>
    <n v="1"/>
    <n v="2E+20"/>
  </r>
  <r>
    <x v="0"/>
    <s v="2025-07-03 20:26:22"/>
    <n v="1"/>
    <x v="5"/>
    <x v="2"/>
    <x v="2"/>
    <n v="0.89084376060730497"/>
    <n v="2E+20"/>
    <n v="0"/>
    <n v="1"/>
    <n v="1"/>
    <n v="0"/>
    <s v="Unnamed ProjectRecurso_MAQ_AInstantaneous UtilizationResource"/>
    <n v="1"/>
    <n v="0.89084376060730497"/>
    <n v="0"/>
    <n v="0.95"/>
    <n v="4E+20"/>
    <n v="0.89084376060730497"/>
    <n v="0.89084376060730497"/>
    <n v="2E+20"/>
  </r>
  <r>
    <x v="0"/>
    <s v="2025-07-03 20:26:22"/>
    <n v="1"/>
    <x v="5"/>
    <x v="3"/>
    <x v="2"/>
    <n v="0.89084376060730497"/>
    <n v="2E+20"/>
    <n v="0"/>
    <n v="1"/>
    <n v="1"/>
    <n v="0"/>
    <s v="Unnamed ProjectRecurso_MAQ_ANumber BusyResource"/>
    <n v="1"/>
    <n v="0.89084376060730497"/>
    <n v="0"/>
    <n v="0.95"/>
    <n v="4E+20"/>
    <n v="0.89084376060730497"/>
    <n v="0.89084376060730497"/>
    <n v="2E+20"/>
  </r>
  <r>
    <x v="0"/>
    <s v="2025-07-03 20:26:22"/>
    <n v="1"/>
    <x v="5"/>
    <x v="4"/>
    <x v="2"/>
    <n v="1"/>
    <n v="2E+20"/>
    <n v="1"/>
    <n v="1"/>
    <n v="1"/>
    <n v="0"/>
    <s v="Unnamed ProjectRecurso_MAQ_ANumber ScheduledResource"/>
    <n v="1"/>
    <n v="1"/>
    <n v="0"/>
    <n v="0.95"/>
    <n v="4E+20"/>
    <n v="1"/>
    <n v="1"/>
    <n v="2E+20"/>
  </r>
  <r>
    <x v="0"/>
    <s v="2025-07-03 20:26:22"/>
    <n v="1"/>
    <x v="6"/>
    <x v="2"/>
    <x v="2"/>
    <n v="0.129184286951673"/>
    <n v="2E+20"/>
    <n v="0"/>
    <n v="1"/>
    <n v="0"/>
    <n v="0"/>
    <s v="Unnamed ProjectRecurso_ReparoInstantaneous UtilizationResource"/>
    <n v="1"/>
    <n v="0.129184286951673"/>
    <n v="0"/>
    <n v="0.95"/>
    <n v="4E+20"/>
    <n v="0.129184286951673"/>
    <n v="0.129184286951673"/>
    <n v="2E+20"/>
  </r>
  <r>
    <x v="0"/>
    <s v="2025-07-03 20:26:22"/>
    <n v="1"/>
    <x v="6"/>
    <x v="3"/>
    <x v="2"/>
    <n v="0.129184286951673"/>
    <n v="2E+20"/>
    <n v="0"/>
    <n v="1"/>
    <n v="0"/>
    <n v="0"/>
    <s v="Unnamed ProjectRecurso_ReparoNumber BusyResource"/>
    <n v="1"/>
    <n v="0.129184286951673"/>
    <n v="0"/>
    <n v="0.95"/>
    <n v="4E+20"/>
    <n v="0.129184286951673"/>
    <n v="0.129184286951673"/>
    <n v="2E+20"/>
  </r>
  <r>
    <x v="0"/>
    <s v="2025-07-03 20:26:22"/>
    <n v="1"/>
    <x v="6"/>
    <x v="4"/>
    <x v="2"/>
    <n v="1"/>
    <n v="2E+20"/>
    <n v="1"/>
    <n v="1"/>
    <n v="1"/>
    <n v="0"/>
    <s v="Unnamed ProjectRecurso_ReparoNumber ScheduledResource"/>
    <n v="1"/>
    <n v="1"/>
    <n v="0"/>
    <n v="0.95"/>
    <n v="4E+20"/>
    <n v="1"/>
    <n v="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5-07-03 20:26:22"/>
    <n v="1"/>
    <x v="0"/>
    <x v="0"/>
    <x v="0"/>
    <n v="0"/>
    <n v="2E+20"/>
    <n v="0"/>
    <n v="0"/>
    <n v="44"/>
    <s v="Unnamed ProjectEntity 1NVA TimeEntity"/>
    <n v="1"/>
    <n v="0"/>
    <n v="0"/>
    <n v="0.95"/>
    <n v="4E+20"/>
    <n v="0"/>
    <n v="0"/>
    <n v="0"/>
    <n v="0"/>
    <n v="44"/>
    <n v="2E+20"/>
    <n v="1"/>
    <n v="1"/>
  </r>
  <r>
    <x v="0"/>
    <s v="2025-07-03 20:26:22"/>
    <n v="1"/>
    <x v="0"/>
    <x v="1"/>
    <x v="0"/>
    <n v="0"/>
    <n v="2E+20"/>
    <n v="0"/>
    <n v="0"/>
    <n v="44"/>
    <s v="Unnamed ProjectEntity 1Other TimeEntity"/>
    <n v="1"/>
    <n v="0"/>
    <n v="0"/>
    <n v="0.95"/>
    <n v="4E+20"/>
    <n v="0"/>
    <n v="0"/>
    <n v="0"/>
    <n v="0"/>
    <n v="44"/>
    <n v="2E+20"/>
    <n v="1"/>
    <n v="1"/>
  </r>
  <r>
    <x v="0"/>
    <s v="2025-07-03 20:26:22"/>
    <n v="1"/>
    <x v="0"/>
    <x v="2"/>
    <x v="0"/>
    <n v="1.4378394938379899"/>
    <n v="2E+20"/>
    <n v="0.69954880455951396"/>
    <n v="2.3187796193922598"/>
    <n v="44"/>
    <s v="Unnamed ProjectEntity 1Total TimeEntity"/>
    <n v="1"/>
    <n v="1.4378394938379899"/>
    <n v="0"/>
    <n v="0.95"/>
    <n v="4E+20"/>
    <n v="1.4378394938379899"/>
    <n v="1.4378394938379899"/>
    <n v="0.69954880455951396"/>
    <n v="2.3187796193922598"/>
    <n v="44"/>
    <n v="2E+20"/>
    <n v="1"/>
    <n v="1"/>
  </r>
  <r>
    <x v="0"/>
    <s v="2025-07-03 20:26:22"/>
    <n v="1"/>
    <x v="0"/>
    <x v="3"/>
    <x v="0"/>
    <n v="0"/>
    <n v="2E+20"/>
    <n v="0"/>
    <n v="0"/>
    <n v="44"/>
    <s v="Unnamed ProjectEntity 1Transfer TimeEntity"/>
    <n v="1"/>
    <n v="0"/>
    <n v="0"/>
    <n v="0.95"/>
    <n v="4E+20"/>
    <n v="0"/>
    <n v="0"/>
    <n v="0"/>
    <n v="0"/>
    <n v="44"/>
    <n v="2E+20"/>
    <n v="1"/>
    <n v="1"/>
  </r>
  <r>
    <x v="0"/>
    <s v="2025-07-03 20:26:22"/>
    <n v="1"/>
    <x v="0"/>
    <x v="4"/>
    <x v="0"/>
    <n v="0.77668315240775798"/>
    <n v="2E+20"/>
    <n v="0.63207596476342598"/>
    <n v="1.05002421406083"/>
    <n v="44"/>
    <s v="Unnamed ProjectEntity 1VA TimeEntity"/>
    <n v="1"/>
    <n v="0.77668315240775798"/>
    <n v="0"/>
    <n v="0.95"/>
    <n v="4E+20"/>
    <n v="0.77668315240775798"/>
    <n v="0.77668315240775798"/>
    <n v="0.63207596476342598"/>
    <n v="1.05002421406083"/>
    <n v="44"/>
    <n v="2E+20"/>
    <n v="1"/>
    <n v="1"/>
  </r>
  <r>
    <x v="0"/>
    <s v="2025-07-03 20:26:22"/>
    <n v="1"/>
    <x v="0"/>
    <x v="5"/>
    <x v="0"/>
    <n v="0.66115634143023105"/>
    <n v="2E+20"/>
    <n v="0"/>
    <n v="1.59256811297668"/>
    <n v="44"/>
    <s v="Unnamed ProjectEntity 1Wait TimeEntity"/>
    <n v="1"/>
    <n v="0.66115634143023105"/>
    <n v="0"/>
    <n v="0.95"/>
    <n v="4E+20"/>
    <n v="0.66115634143023105"/>
    <n v="0.66115634143023105"/>
    <n v="0"/>
    <n v="1.59256811297668"/>
    <n v="44"/>
    <n v="2E+20"/>
    <n v="1"/>
    <n v="1"/>
  </r>
  <r>
    <x v="0"/>
    <s v="2025-07-03 20:26:22"/>
    <n v="1"/>
    <x v="1"/>
    <x v="6"/>
    <x v="1"/>
    <n v="1.33556453513312E-2"/>
    <n v="2E+20"/>
    <n v="0"/>
    <n v="7.9205378955116104E-2"/>
    <n v="45"/>
    <s v="Unnamed ProjectProcesso Inspecao.QueueWaiting TimeQueue"/>
    <n v="1"/>
    <n v="1.33556453513312E-2"/>
    <n v="0"/>
    <n v="0.95"/>
    <n v="4E+20"/>
    <n v="1.33556453513312E-2"/>
    <n v="1.33556453513312E-2"/>
    <n v="0"/>
    <n v="7.9205378955116104E-2"/>
    <n v="45"/>
    <n v="2E+20"/>
    <n v="1"/>
    <n v="1"/>
  </r>
  <r>
    <x v="0"/>
    <s v="2025-07-03 20:26:22"/>
    <n v="1"/>
    <x v="2"/>
    <x v="6"/>
    <x v="1"/>
    <n v="0.65830912150714305"/>
    <n v="2E+20"/>
    <n v="0"/>
    <n v="1.57036141370572"/>
    <n v="46"/>
    <s v="Unnamed ProjectPROCESSO MAQ.A.QueueWaiting TimeQueue"/>
    <n v="1"/>
    <n v="0.65830912150714305"/>
    <n v="0"/>
    <n v="0.95"/>
    <n v="4E+20"/>
    <n v="0.65830912150714305"/>
    <n v="0.65830912150714305"/>
    <n v="0"/>
    <n v="1.57036141370572"/>
    <n v="46"/>
    <n v="2E+20"/>
    <n v="1"/>
    <n v="1"/>
  </r>
  <r>
    <x v="0"/>
    <s v="2025-07-03 20:26:22"/>
    <n v="1"/>
    <x v="3"/>
    <x v="6"/>
    <x v="1"/>
    <n v="0"/>
    <n v="2E+20"/>
    <n v="0"/>
    <n v="0"/>
    <n v="10"/>
    <s v="Unnamed ProjectProcesso Reparo.QueueWaiting TimeQueue"/>
    <n v="1"/>
    <n v="0"/>
    <n v="0"/>
    <n v="0.95"/>
    <n v="4E+20"/>
    <n v="0"/>
    <n v="0"/>
    <n v="0"/>
    <n v="0"/>
    <n v="10"/>
    <n v="2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5-07-03 20:26:22"/>
    <n v="1"/>
    <x v="0"/>
    <x v="0"/>
    <x v="0"/>
    <n v="47"/>
    <n v="0"/>
    <s v="Unnamed ProjectEntity 1.NumberInNumber InEntity"/>
    <n v="1"/>
    <n v="47"/>
    <n v="0"/>
    <n v="0.95"/>
    <n v="4E+20"/>
    <n v="47"/>
    <n v="47"/>
  </r>
  <r>
    <x v="0"/>
    <s v="2025-07-03 20:26:22"/>
    <n v="1"/>
    <x v="1"/>
    <x v="1"/>
    <x v="0"/>
    <n v="44"/>
    <n v="0"/>
    <s v="Unnamed ProjectEntity 1.NumberOutNumber OutEntity"/>
    <n v="1"/>
    <n v="44"/>
    <n v="0"/>
    <n v="0.95"/>
    <n v="4E+20"/>
    <n v="44"/>
    <n v="44"/>
  </r>
  <r>
    <x v="0"/>
    <s v="2025-07-03 20:26:22"/>
    <n v="1"/>
    <x v="2"/>
    <x v="2"/>
    <x v="1"/>
    <n v="45"/>
    <n v="0"/>
    <s v="Unnamed ProjectRecurso_Inspecao.NumberSeizedTotal Number SeizedResource"/>
    <n v="1"/>
    <n v="45"/>
    <n v="0"/>
    <n v="0.95"/>
    <n v="4E+20"/>
    <n v="45"/>
    <n v="45"/>
  </r>
  <r>
    <x v="0"/>
    <s v="2025-07-03 20:26:22"/>
    <n v="1"/>
    <x v="3"/>
    <x v="3"/>
    <x v="1"/>
    <n v="0.77840723850676696"/>
    <n v="0"/>
    <s v="Unnamed ProjectRecurso_Inspecao.ScheduledUtilizationScheduled UtilizationResource"/>
    <n v="1"/>
    <n v="0.77840723850676696"/>
    <n v="0"/>
    <n v="0.95"/>
    <n v="4E+20"/>
    <n v="0.77840723850676696"/>
    <n v="0.77840723850676696"/>
  </r>
  <r>
    <x v="0"/>
    <s v="2025-07-03 20:26:22"/>
    <n v="1"/>
    <x v="4"/>
    <x v="2"/>
    <x v="1"/>
    <n v="46"/>
    <n v="0"/>
    <s v="Unnamed ProjectRecurso_MAQ_A.NumberSeizedTotal Number SeizedResource"/>
    <n v="1"/>
    <n v="46"/>
    <n v="0"/>
    <n v="0.95"/>
    <n v="4E+20"/>
    <n v="46"/>
    <n v="46"/>
  </r>
  <r>
    <x v="0"/>
    <s v="2025-07-03 20:26:22"/>
    <n v="1"/>
    <x v="5"/>
    <x v="3"/>
    <x v="1"/>
    <n v="0.89084376060730497"/>
    <n v="0"/>
    <s v="Unnamed ProjectRecurso_MAQ_A.ScheduledUtilizationScheduled UtilizationResource"/>
    <n v="1"/>
    <n v="0.89084376060730497"/>
    <n v="0"/>
    <n v="0.95"/>
    <n v="4E+20"/>
    <n v="0.89084376060730497"/>
    <n v="0.89084376060730497"/>
  </r>
  <r>
    <x v="0"/>
    <s v="2025-07-03 20:26:22"/>
    <n v="1"/>
    <x v="6"/>
    <x v="2"/>
    <x v="1"/>
    <n v="10"/>
    <n v="0"/>
    <s v="Unnamed ProjectRecurso_Reparo.NumberSeizedTotal Number SeizedResource"/>
    <n v="1"/>
    <n v="10"/>
    <n v="0"/>
    <n v="0.95"/>
    <n v="4E+20"/>
    <n v="10"/>
    <n v="10"/>
  </r>
  <r>
    <x v="0"/>
    <s v="2025-07-03 20:26:22"/>
    <n v="1"/>
    <x v="7"/>
    <x v="3"/>
    <x v="1"/>
    <n v="0.129184286951673"/>
    <n v="0"/>
    <s v="Unnamed ProjectRecurso_Reparo.ScheduledUtilizationScheduled UtilizationResource"/>
    <n v="1"/>
    <n v="0.129184286951673"/>
    <n v="0"/>
    <n v="0.95"/>
    <n v="4E+20"/>
    <n v="0.129184286951673"/>
    <n v="0.129184286951673"/>
  </r>
  <r>
    <x v="0"/>
    <s v="2025-07-03 20:26:22"/>
    <n v="1"/>
    <x v="8"/>
    <x v="1"/>
    <x v="2"/>
    <n v="44"/>
    <n v="0"/>
    <s v="Unnamed ProjectSystem.NumberOutNumber OutSystem"/>
    <n v="1"/>
    <n v="44"/>
    <n v="0"/>
    <n v="0.95"/>
    <n v="4E+20"/>
    <n v="44"/>
    <n v="4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0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2"/>
      <x v="4"/>
      <x/>
    </i>
    <i r="1">
      <x v="124"/>
      <x v="3"/>
      <x v="1"/>
    </i>
    <i r="1">
      <x v="125"/>
      <x v="3"/>
      <x v="1"/>
    </i>
    <i r="1">
      <x v="126"/>
      <x v="3"/>
      <x v="1"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1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4"/>
        <item m="1" x="37"/>
        <item m="1" x="9"/>
        <item m="1" x="89"/>
        <item m="1" x="72"/>
        <item m="1" x="42"/>
        <item m="1" x="98"/>
        <item m="1" x="30"/>
        <item m="1" x="34"/>
        <item x="0"/>
        <item m="1" x="67"/>
        <item m="1" x="79"/>
        <item m="1" x="84"/>
        <item m="1" x="8"/>
        <item m="1" x="36"/>
        <item m="1" x="26"/>
        <item m="1" x="101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1"/>
        <item x="2"/>
        <item x="3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9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  <i r="1">
      <x v="101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1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4"/>
        <item m="1" x="10"/>
        <item m="1" x="35"/>
        <item m="1" x="11"/>
        <item m="1" x="36"/>
        <item m="1" x="12"/>
        <item m="1" x="37"/>
        <item m="1" x="13"/>
        <item m="1" x="69"/>
        <item m="1" x="24"/>
        <item x="8"/>
        <item m="1" x="68"/>
        <item m="1" x="55"/>
        <item m="1" x="72"/>
        <item m="1" x="57"/>
        <item x="0"/>
        <item x="1"/>
        <item m="1" x="49"/>
        <item m="1" x="17"/>
        <item m="1" x="66"/>
        <item m="1" x="56"/>
        <item m="1" x="54"/>
        <item m="1" x="20"/>
        <item m="1" x="64"/>
        <item m="1" x="29"/>
        <item m="1" x="65"/>
        <item m="1" x="30"/>
        <item m="1" x="63"/>
        <item m="1" x="81"/>
        <item m="1" x="23"/>
        <item m="1" x="84"/>
        <item m="1" x="51"/>
        <item m="1" x="18"/>
        <item m="1" x="79"/>
        <item m="1" x="75"/>
        <item m="1" x="52"/>
        <item m="1" x="19"/>
        <item m="1" x="80"/>
        <item m="1" x="76"/>
        <item m="1" x="14"/>
        <item m="1" x="48"/>
        <item m="1" x="32"/>
        <item m="1" x="22"/>
        <item m="1" x="73"/>
        <item m="1" x="44"/>
        <item m="1" x="74"/>
        <item m="1" x="45"/>
        <item m="1" x="31"/>
        <item m="1" x="26"/>
        <item m="1" x="53"/>
        <item m="1" x="28"/>
        <item m="1" x="83"/>
        <item m="1" x="77"/>
        <item m="1" x="27"/>
        <item m="1" x="25"/>
        <item m="1" x="70"/>
        <item m="1" x="78"/>
        <item m="1" x="15"/>
        <item m="1" x="33"/>
        <item m="1" x="46"/>
        <item m="1" x="67"/>
        <item m="1" x="82"/>
        <item m="1" x="16"/>
        <item m="1" x="43"/>
        <item m="1" x="47"/>
        <item m="1" x="71"/>
        <item m="1" x="50"/>
        <item m="1" x="21"/>
        <item m="1" x="38"/>
        <item m="1" x="58"/>
        <item m="1" x="39"/>
        <item m="1" x="59"/>
        <item m="1" x="40"/>
        <item m="1" x="60"/>
        <item m="1" x="41"/>
        <item m="1" x="61"/>
        <item m="1" x="42"/>
        <item m="1" x="62"/>
        <item m="1" x="9"/>
        <item x="2"/>
        <item x="3"/>
        <item x="4"/>
        <item x="5"/>
        <item x="6"/>
        <item x="7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" tableType="queryTable" totalsRowShown="0">
  <autoFilter ref="A1:Y10" xr:uid="{C3D003CA-1AFF-426C-A03D-D3AF5760DF1A}"/>
  <sortState xmlns:xlrd2="http://schemas.microsoft.com/office/spreadsheetml/2017/richdata2" ref="A2:Y10">
    <sortCondition ref="D1:D10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4" tableType="queryTable" totalsRowShown="0">
  <autoFilter ref="A1:U14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0" tableType="queryTable" totalsRowShown="0">
  <autoFilter ref="A1:P10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46.5546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3</v>
      </c>
      <c r="E2">
        <v>1</v>
      </c>
      <c r="F2">
        <v>16.6666666666667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5"/>
  <sheetViews>
    <sheetView tabSelected="1" workbookViewId="0"/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0.109375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44</v>
      </c>
      <c r="O3" t="s">
        <v>66</v>
      </c>
      <c r="P3" t="s">
        <v>70</v>
      </c>
      <c r="Q3" t="s">
        <v>83</v>
      </c>
      <c r="R3" t="s">
        <v>72</v>
      </c>
      <c r="S3" s="5">
        <v>3.9514266637169801</v>
      </c>
      <c r="T3" s="5">
        <v>2E+20</v>
      </c>
      <c r="U3" s="5">
        <v>0</v>
      </c>
      <c r="V3" s="5">
        <v>3.9514266637169801</v>
      </c>
      <c r="W3" s="5">
        <v>3.9514266637169801</v>
      </c>
      <c r="X3" s="5">
        <v>0</v>
      </c>
      <c r="Y3" s="5">
        <v>7</v>
      </c>
      <c r="AA3" t="s">
        <v>106</v>
      </c>
      <c r="AB3" t="s">
        <v>106</v>
      </c>
      <c r="AC3" t="s">
        <v>106</v>
      </c>
      <c r="AD3" t="s">
        <v>106</v>
      </c>
      <c r="AE3" s="5"/>
      <c r="AF3" s="5"/>
      <c r="AG3" s="5"/>
      <c r="AH3" s="5"/>
      <c r="AI3" s="5"/>
      <c r="AK3" t="s">
        <v>66</v>
      </c>
      <c r="AL3" t="s">
        <v>104</v>
      </c>
      <c r="AM3" t="s">
        <v>95</v>
      </c>
      <c r="AN3" t="s">
        <v>105</v>
      </c>
      <c r="AO3" s="5">
        <v>44</v>
      </c>
      <c r="AP3" s="5">
        <v>4E+20</v>
      </c>
      <c r="AQ3" s="5">
        <v>0</v>
      </c>
      <c r="AR3" s="5">
        <v>44</v>
      </c>
      <c r="AS3" s="5">
        <v>44</v>
      </c>
      <c r="AU3" t="s">
        <v>106</v>
      </c>
      <c r="AV3" t="s">
        <v>106</v>
      </c>
      <c r="AW3" t="s">
        <v>106</v>
      </c>
      <c r="AX3" t="s">
        <v>106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44</v>
      </c>
      <c r="P4" t="s">
        <v>78</v>
      </c>
      <c r="Q4" t="s">
        <v>84</v>
      </c>
      <c r="R4" t="s">
        <v>80</v>
      </c>
      <c r="S4" s="5">
        <v>1.8249311352026401</v>
      </c>
      <c r="T4" s="5">
        <v>2E+20</v>
      </c>
      <c r="U4" s="5">
        <v>0</v>
      </c>
      <c r="V4" s="5">
        <v>1.8249311352026401</v>
      </c>
      <c r="W4" s="5">
        <v>1.8249311352026401</v>
      </c>
      <c r="X4" s="5">
        <v>0</v>
      </c>
      <c r="Y4" s="5">
        <v>5</v>
      </c>
      <c r="AL4" t="s">
        <v>92</v>
      </c>
      <c r="AM4" t="s">
        <v>93</v>
      </c>
      <c r="AN4" t="s">
        <v>72</v>
      </c>
      <c r="AO4" s="5">
        <v>47</v>
      </c>
      <c r="AP4" s="5">
        <v>4E+20</v>
      </c>
      <c r="AQ4" s="5">
        <v>0</v>
      </c>
      <c r="AR4" s="5">
        <v>47</v>
      </c>
      <c r="AS4" s="5">
        <v>47</v>
      </c>
    </row>
    <row r="5" spans="1:52" x14ac:dyDescent="0.3">
      <c r="C5" t="s">
        <v>74</v>
      </c>
      <c r="D5" t="s">
        <v>72</v>
      </c>
      <c r="E5" s="5">
        <v>1.4378394938379899</v>
      </c>
      <c r="F5" s="5">
        <v>1</v>
      </c>
      <c r="G5" s="5">
        <v>2E+20</v>
      </c>
      <c r="H5" s="5">
        <v>0</v>
      </c>
      <c r="I5" s="5">
        <v>1.4378394938379899</v>
      </c>
      <c r="J5" s="5">
        <v>1.4378394938379899</v>
      </c>
      <c r="K5" s="5">
        <v>0.69954880455951396</v>
      </c>
      <c r="L5" s="5">
        <v>2.3187796193922598</v>
      </c>
      <c r="M5" s="5">
        <v>44</v>
      </c>
      <c r="P5" t="s">
        <v>81</v>
      </c>
      <c r="Q5" t="s">
        <v>84</v>
      </c>
      <c r="R5" t="s">
        <v>80</v>
      </c>
      <c r="S5" s="5">
        <v>3.60602424485943E-2</v>
      </c>
      <c r="T5" s="5">
        <v>2E+20</v>
      </c>
      <c r="U5" s="5">
        <v>0</v>
      </c>
      <c r="V5" s="5">
        <v>3.60602424485943E-2</v>
      </c>
      <c r="W5" s="5">
        <v>3.60602424485943E-2</v>
      </c>
      <c r="X5" s="5">
        <v>0</v>
      </c>
      <c r="Y5" s="5">
        <v>1</v>
      </c>
      <c r="AL5" t="s">
        <v>94</v>
      </c>
      <c r="AM5" t="s">
        <v>95</v>
      </c>
      <c r="AN5" t="s">
        <v>72</v>
      </c>
      <c r="AO5" s="5">
        <v>44</v>
      </c>
      <c r="AP5" s="5">
        <v>4E+20</v>
      </c>
      <c r="AQ5" s="5">
        <v>0</v>
      </c>
      <c r="AR5" s="5">
        <v>44</v>
      </c>
      <c r="AS5" s="5">
        <v>44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44</v>
      </c>
      <c r="P6" t="s">
        <v>82</v>
      </c>
      <c r="Q6" t="s">
        <v>84</v>
      </c>
      <c r="R6" t="s">
        <v>80</v>
      </c>
      <c r="S6" s="5">
        <v>0</v>
      </c>
      <c r="T6" s="5">
        <v>2E+20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96</v>
      </c>
      <c r="AM6" t="s">
        <v>97</v>
      </c>
      <c r="AN6" t="s">
        <v>87</v>
      </c>
      <c r="AO6" s="5">
        <v>45</v>
      </c>
      <c r="AP6" s="5">
        <v>4E+20</v>
      </c>
      <c r="AQ6" s="5">
        <v>0</v>
      </c>
      <c r="AR6" s="5">
        <v>45</v>
      </c>
      <c r="AS6" s="5">
        <v>45</v>
      </c>
    </row>
    <row r="7" spans="1:52" x14ac:dyDescent="0.3">
      <c r="C7" t="s">
        <v>76</v>
      </c>
      <c r="D7" t="s">
        <v>72</v>
      </c>
      <c r="E7" s="5">
        <v>0.77668315240775798</v>
      </c>
      <c r="F7" s="5">
        <v>1</v>
      </c>
      <c r="G7" s="5">
        <v>2E+20</v>
      </c>
      <c r="H7" s="5">
        <v>0</v>
      </c>
      <c r="I7" s="5">
        <v>0.77668315240775798</v>
      </c>
      <c r="J7" s="5">
        <v>0.77668315240775798</v>
      </c>
      <c r="K7" s="5">
        <v>0.63207596476342598</v>
      </c>
      <c r="L7" s="5">
        <v>1.05002421406083</v>
      </c>
      <c r="M7" s="5">
        <v>44</v>
      </c>
      <c r="P7" t="s">
        <v>85</v>
      </c>
      <c r="Q7" t="s">
        <v>86</v>
      </c>
      <c r="R7" t="s">
        <v>87</v>
      </c>
      <c r="S7" s="5">
        <v>0.77840723850676696</v>
      </c>
      <c r="T7" s="5">
        <v>2E+20</v>
      </c>
      <c r="U7" s="5">
        <v>0</v>
      </c>
      <c r="V7" s="5">
        <v>0.77840723850676696</v>
      </c>
      <c r="W7" s="5">
        <v>0.77840723850676696</v>
      </c>
      <c r="X7" s="5">
        <v>0</v>
      </c>
      <c r="Y7" s="5">
        <v>1</v>
      </c>
      <c r="AL7" t="s">
        <v>98</v>
      </c>
      <c r="AM7" t="s">
        <v>99</v>
      </c>
      <c r="AN7" t="s">
        <v>87</v>
      </c>
      <c r="AO7" s="5">
        <v>0.77840723850676696</v>
      </c>
      <c r="AP7" s="5">
        <v>4E+20</v>
      </c>
      <c r="AQ7" s="5">
        <v>0</v>
      </c>
      <c r="AR7" s="5">
        <v>0.77840723850676696</v>
      </c>
      <c r="AS7" s="5">
        <v>0.77840723850676696</v>
      </c>
    </row>
    <row r="8" spans="1:52" x14ac:dyDescent="0.3">
      <c r="C8" t="s">
        <v>77</v>
      </c>
      <c r="D8" t="s">
        <v>72</v>
      </c>
      <c r="E8" s="5">
        <v>0.66115634143023105</v>
      </c>
      <c r="F8" s="5">
        <v>1</v>
      </c>
      <c r="G8" s="5">
        <v>2E+20</v>
      </c>
      <c r="H8" s="5">
        <v>0</v>
      </c>
      <c r="I8" s="5">
        <v>0.66115634143023105</v>
      </c>
      <c r="J8" s="5">
        <v>0.66115634143023105</v>
      </c>
      <c r="K8" s="5">
        <v>0</v>
      </c>
      <c r="L8" s="5">
        <v>1.59256811297668</v>
      </c>
      <c r="M8" s="5">
        <v>44</v>
      </c>
      <c r="Q8" t="s">
        <v>88</v>
      </c>
      <c r="R8" t="s">
        <v>87</v>
      </c>
      <c r="S8" s="5">
        <v>0.77840723850676696</v>
      </c>
      <c r="T8" s="5">
        <v>2E+20</v>
      </c>
      <c r="U8" s="5">
        <v>0</v>
      </c>
      <c r="V8" s="5">
        <v>0.77840723850676696</v>
      </c>
      <c r="W8" s="5">
        <v>0.77840723850676696</v>
      </c>
      <c r="X8" s="5">
        <v>0</v>
      </c>
      <c r="Y8" s="5">
        <v>1</v>
      </c>
      <c r="AL8" t="s">
        <v>100</v>
      </c>
      <c r="AM8" t="s">
        <v>97</v>
      </c>
      <c r="AN8" t="s">
        <v>87</v>
      </c>
      <c r="AO8" s="5">
        <v>46</v>
      </c>
      <c r="AP8" s="5">
        <v>4E+20</v>
      </c>
      <c r="AQ8" s="5">
        <v>0</v>
      </c>
      <c r="AR8" s="5">
        <v>46</v>
      </c>
      <c r="AS8" s="5">
        <v>46</v>
      </c>
    </row>
    <row r="9" spans="1:52" x14ac:dyDescent="0.3">
      <c r="B9" t="s">
        <v>81</v>
      </c>
      <c r="C9" t="s">
        <v>79</v>
      </c>
      <c r="D9" t="s">
        <v>80</v>
      </c>
      <c r="E9" s="5">
        <v>1.33556453513312E-2</v>
      </c>
      <c r="F9" s="5">
        <v>1</v>
      </c>
      <c r="G9" s="5">
        <v>2E+20</v>
      </c>
      <c r="H9" s="5">
        <v>0</v>
      </c>
      <c r="I9" s="5">
        <v>1.33556453513312E-2</v>
      </c>
      <c r="J9" s="5">
        <v>1.33556453513312E-2</v>
      </c>
      <c r="K9" s="5">
        <v>0</v>
      </c>
      <c r="L9" s="5">
        <v>7.9205378955116104E-2</v>
      </c>
      <c r="M9" s="5">
        <v>45</v>
      </c>
      <c r="Q9" t="s">
        <v>89</v>
      </c>
      <c r="R9" t="s">
        <v>87</v>
      </c>
      <c r="S9" s="5">
        <v>1</v>
      </c>
      <c r="T9" s="5">
        <v>2E+20</v>
      </c>
      <c r="U9" s="5">
        <v>0</v>
      </c>
      <c r="V9" s="5">
        <v>1</v>
      </c>
      <c r="W9" s="5">
        <v>1</v>
      </c>
      <c r="X9" s="5">
        <v>1</v>
      </c>
      <c r="Y9" s="5">
        <v>1</v>
      </c>
      <c r="AL9" t="s">
        <v>101</v>
      </c>
      <c r="AM9" t="s">
        <v>99</v>
      </c>
      <c r="AN9" t="s">
        <v>87</v>
      </c>
      <c r="AO9" s="5">
        <v>0.89084376060730497</v>
      </c>
      <c r="AP9" s="5">
        <v>4E+20</v>
      </c>
      <c r="AQ9" s="5">
        <v>0</v>
      </c>
      <c r="AR9" s="5">
        <v>0.89084376060730497</v>
      </c>
      <c r="AS9" s="5">
        <v>0.89084376060730497</v>
      </c>
    </row>
    <row r="10" spans="1:52" x14ac:dyDescent="0.3">
      <c r="B10" t="s">
        <v>78</v>
      </c>
      <c r="C10" t="s">
        <v>79</v>
      </c>
      <c r="D10" t="s">
        <v>80</v>
      </c>
      <c r="E10" s="5">
        <v>0.65830912150714305</v>
      </c>
      <c r="F10" s="5">
        <v>1</v>
      </c>
      <c r="G10" s="5">
        <v>2E+20</v>
      </c>
      <c r="H10" s="5">
        <v>0</v>
      </c>
      <c r="I10" s="5">
        <v>0.65830912150714305</v>
      </c>
      <c r="J10" s="5">
        <v>0.65830912150714305</v>
      </c>
      <c r="K10" s="5">
        <v>0</v>
      </c>
      <c r="L10" s="5">
        <v>1.57036141370572</v>
      </c>
      <c r="M10" s="5">
        <v>46</v>
      </c>
      <c r="P10" t="s">
        <v>90</v>
      </c>
      <c r="Q10" t="s">
        <v>86</v>
      </c>
      <c r="R10" t="s">
        <v>87</v>
      </c>
      <c r="S10" s="5">
        <v>0.89084376060730497</v>
      </c>
      <c r="T10" s="5">
        <v>2E+20</v>
      </c>
      <c r="U10" s="5">
        <v>0</v>
      </c>
      <c r="V10" s="5">
        <v>0.89084376060730497</v>
      </c>
      <c r="W10" s="5">
        <v>0.89084376060730497</v>
      </c>
      <c r="X10" s="5">
        <v>0</v>
      </c>
      <c r="Y10" s="5">
        <v>1</v>
      </c>
      <c r="AL10" t="s">
        <v>102</v>
      </c>
      <c r="AM10" t="s">
        <v>97</v>
      </c>
      <c r="AN10" t="s">
        <v>87</v>
      </c>
      <c r="AO10" s="5">
        <v>10</v>
      </c>
      <c r="AP10" s="5">
        <v>4E+20</v>
      </c>
      <c r="AQ10" s="5">
        <v>0</v>
      </c>
      <c r="AR10" s="5">
        <v>10</v>
      </c>
      <c r="AS10" s="5">
        <v>10</v>
      </c>
    </row>
    <row r="11" spans="1:52" x14ac:dyDescent="0.3">
      <c r="B11" t="s">
        <v>82</v>
      </c>
      <c r="C11" t="s">
        <v>79</v>
      </c>
      <c r="D11" t="s">
        <v>80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10</v>
      </c>
      <c r="Q11" t="s">
        <v>88</v>
      </c>
      <c r="R11" t="s">
        <v>87</v>
      </c>
      <c r="S11" s="5">
        <v>0.89084376060730497</v>
      </c>
      <c r="T11" s="5">
        <v>2E+20</v>
      </c>
      <c r="U11" s="5">
        <v>0</v>
      </c>
      <c r="V11" s="5">
        <v>0.89084376060730497</v>
      </c>
      <c r="W11" s="5">
        <v>0.89084376060730497</v>
      </c>
      <c r="X11" s="5">
        <v>0</v>
      </c>
      <c r="Y11" s="5">
        <v>1</v>
      </c>
      <c r="AL11" t="s">
        <v>103</v>
      </c>
      <c r="AM11" t="s">
        <v>99</v>
      </c>
      <c r="AN11" t="s">
        <v>87</v>
      </c>
      <c r="AO11" s="5">
        <v>0.129184286951673</v>
      </c>
      <c r="AP11" s="5">
        <v>4E+20</v>
      </c>
      <c r="AQ11" s="5">
        <v>0</v>
      </c>
      <c r="AR11" s="5">
        <v>0.129184286951673</v>
      </c>
      <c r="AS11" s="5">
        <v>0.129184286951673</v>
      </c>
    </row>
    <row r="12" spans="1:52" x14ac:dyDescent="0.3">
      <c r="Q12" t="s">
        <v>89</v>
      </c>
      <c r="R12" t="s">
        <v>87</v>
      </c>
      <c r="S12" s="5">
        <v>1</v>
      </c>
      <c r="T12" s="5">
        <v>2E+20</v>
      </c>
      <c r="U12" s="5">
        <v>0</v>
      </c>
      <c r="V12" s="5">
        <v>1</v>
      </c>
      <c r="W12" s="5">
        <v>1</v>
      </c>
      <c r="X12" s="5">
        <v>1</v>
      </c>
      <c r="Y12" s="5">
        <v>1</v>
      </c>
    </row>
    <row r="13" spans="1:52" x14ac:dyDescent="0.3">
      <c r="P13" t="s">
        <v>91</v>
      </c>
      <c r="Q13" t="s">
        <v>86</v>
      </c>
      <c r="R13" t="s">
        <v>87</v>
      </c>
      <c r="S13" s="5">
        <v>0.129184286951673</v>
      </c>
      <c r="T13" s="5">
        <v>2E+20</v>
      </c>
      <c r="U13" s="5">
        <v>0</v>
      </c>
      <c r="V13" s="5">
        <v>0.129184286951673</v>
      </c>
      <c r="W13" s="5">
        <v>0.129184286951673</v>
      </c>
      <c r="X13" s="5">
        <v>0</v>
      </c>
      <c r="Y13" s="5">
        <v>1</v>
      </c>
    </row>
    <row r="14" spans="1:52" x14ac:dyDescent="0.3">
      <c r="Q14" t="s">
        <v>88</v>
      </c>
      <c r="R14" t="s">
        <v>87</v>
      </c>
      <c r="S14" s="5">
        <v>0.129184286951673</v>
      </c>
      <c r="T14" s="5">
        <v>2E+20</v>
      </c>
      <c r="U14" s="5">
        <v>0</v>
      </c>
      <c r="V14" s="5">
        <v>0.129184286951673</v>
      </c>
      <c r="W14" s="5">
        <v>0.129184286951673</v>
      </c>
      <c r="X14" s="5">
        <v>0</v>
      </c>
      <c r="Y14" s="5">
        <v>1</v>
      </c>
    </row>
    <row r="15" spans="1:52" x14ac:dyDescent="0.3">
      <c r="Q15" t="s">
        <v>89</v>
      </c>
      <c r="R15" t="s">
        <v>87</v>
      </c>
      <c r="S15" s="5">
        <v>1</v>
      </c>
      <c r="T15" s="5">
        <v>2E+20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</row>
  </sheetData>
  <dataConsolidate/>
  <conditionalFormatting pivot="1" sqref="G3:G11">
    <cfRule type="expression" dxfId="31" priority="14">
      <formula>G3=200000000000000000000</formula>
    </cfRule>
  </conditionalFormatting>
  <conditionalFormatting pivot="1" sqref="T3:T15">
    <cfRule type="expression" dxfId="30" priority="13">
      <formula>T3=200000000000000000000</formula>
    </cfRule>
  </conditionalFormatting>
  <conditionalFormatting pivot="1" sqref="T3:T15">
    <cfRule type="expression" dxfId="29" priority="12">
      <formula>T3=300000000000000000000</formula>
    </cfRule>
  </conditionalFormatting>
  <conditionalFormatting pivot="1" sqref="G3:G11">
    <cfRule type="expression" dxfId="28" priority="11">
      <formula>G3=300000000000000000000</formula>
    </cfRule>
  </conditionalFormatting>
  <conditionalFormatting pivot="1" sqref="F3:F11">
    <cfRule type="expression" dxfId="27" priority="10">
      <formula>F3=0</formula>
    </cfRule>
  </conditionalFormatting>
  <conditionalFormatting pivot="1" sqref="F3:F11">
    <cfRule type="expression" dxfId="26" priority="9">
      <formula>F3=1</formula>
    </cfRule>
  </conditionalFormatting>
  <conditionalFormatting pivot="1" sqref="T3:T15">
    <cfRule type="expression" dxfId="25" priority="8">
      <formula>T3=400000000000000000000</formula>
    </cfRule>
  </conditionalFormatting>
  <conditionalFormatting pivot="1" sqref="AP3:AP11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1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2.332031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53.218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44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44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44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44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1.4378394938379899</v>
      </c>
      <c r="H4">
        <v>2E+20</v>
      </c>
      <c r="I4">
        <v>0.69954880455951396</v>
      </c>
      <c r="J4">
        <v>2.3187796193922598</v>
      </c>
      <c r="K4">
        <v>44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1.4378394938379899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1.4378394938379899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1.4378394938379899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0.69954880455951396</v>
      </c>
      <c r="U4" cm="1">
        <f t="array" ref="U4">MAX(IF((DiscreteStatsTable[GroupByKey]=DiscreteStatsTable[[#This Row],[GroupByKey]]),(DiscreteStatsTable[GroupByKey]=DiscreteStatsTable[[#This Row],[GroupByKey]])*DiscreteStatsTable[Maximum]))</f>
        <v>2.3187796193922598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44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44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44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0.77668315240775798</v>
      </c>
      <c r="H6">
        <v>2E+20</v>
      </c>
      <c r="I6">
        <v>0.63207596476342598</v>
      </c>
      <c r="J6">
        <v>1.05002421406083</v>
      </c>
      <c r="K6">
        <v>44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0.77668315240775798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0.77668315240775798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0.77668315240775798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0.63207596476342598</v>
      </c>
      <c r="U6" cm="1">
        <f t="array" ref="U6">MAX(IF((DiscreteStatsTable[GroupByKey]=DiscreteStatsTable[[#This Row],[GroupByKey]]),(DiscreteStatsTable[GroupByKey]=DiscreteStatsTable[[#This Row],[GroupByKey]])*DiscreteStatsTable[Maximum]))</f>
        <v>1.05002421406083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44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0.66115634143023105</v>
      </c>
      <c r="H7">
        <v>2E+20</v>
      </c>
      <c r="I7">
        <v>0</v>
      </c>
      <c r="J7">
        <v>1.59256811297668</v>
      </c>
      <c r="K7">
        <v>44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0.66115634143023105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0.66115634143023105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0.66115634143023105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1.59256811297668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44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1</v>
      </c>
      <c r="D8" t="s">
        <v>81</v>
      </c>
      <c r="E8" t="s">
        <v>79</v>
      </c>
      <c r="F8" t="s">
        <v>80</v>
      </c>
      <c r="G8">
        <v>1.33556453513312E-2</v>
      </c>
      <c r="H8">
        <v>2E+20</v>
      </c>
      <c r="I8">
        <v>0</v>
      </c>
      <c r="J8">
        <v>7.9205378955116104E-2</v>
      </c>
      <c r="K8">
        <v>45</v>
      </c>
      <c r="L8" t="str">
        <f>DiscreteStatsTable[[#This Row],[ProjectName]]&amp;DiscreteStatsTable[[#This Row],[Name]]&amp;DiscreteStatsTable[[#This Row],[Type]]&amp;DiscreteStatsTable[[#This Row],[Source]]</f>
        <v>Unnamed ProjectProcesso Inspecao.QueueWaiting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1.33556453513312E-2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1.33556453513312E-2</v>
      </c>
      <c r="S8" cm="1">
        <f t="array" ref="S8">MAX(IF((DiscreteStatsTable[GroupByKey]=DiscreteStatsTable[[#This Row],[GroupByKey]]),(DiscreteStatsTable[GroupByKey]=DiscreteStatsTable[[#This Row],[GroupByKey]])*DiscreteStatsTable[Average]))</f>
        <v>1.33556453513312E-2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7.9205378955116104E-2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45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1</v>
      </c>
      <c r="D9" t="s">
        <v>78</v>
      </c>
      <c r="E9" t="s">
        <v>79</v>
      </c>
      <c r="F9" t="s">
        <v>80</v>
      </c>
      <c r="G9">
        <v>0.65830912150714305</v>
      </c>
      <c r="H9">
        <v>2E+20</v>
      </c>
      <c r="I9">
        <v>0</v>
      </c>
      <c r="J9">
        <v>1.57036141370572</v>
      </c>
      <c r="K9">
        <v>46</v>
      </c>
      <c r="L9" t="str">
        <f>DiscreteStatsTable[[#This Row],[ProjectName]]&amp;DiscreteStatsTable[[#This Row],[Name]]&amp;DiscreteStatsTable[[#This Row],[Type]]&amp;DiscreteStatsTable[[#This Row],[Source]]</f>
        <v>Unnamed ProjectPROCESSO MAQ.A.QueueWaiting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0.65830912150714305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0.65830912150714305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0.65830912150714305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1.57036141370572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46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1</v>
      </c>
      <c r="D10" t="s">
        <v>82</v>
      </c>
      <c r="E10" t="s">
        <v>79</v>
      </c>
      <c r="F10" t="s">
        <v>80</v>
      </c>
      <c r="G10">
        <v>0</v>
      </c>
      <c r="H10">
        <v>2E+20</v>
      </c>
      <c r="I10">
        <v>0</v>
      </c>
      <c r="J10">
        <v>0</v>
      </c>
      <c r="K10">
        <v>10</v>
      </c>
      <c r="L10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10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</sheetData>
  <phoneticPr fontId="2" type="noConversion"/>
  <conditionalFormatting sqref="H2:H10 Q2:Q10">
    <cfRule type="expression" dxfId="20" priority="23">
      <formula>H2=200000000000000000000</formula>
    </cfRule>
  </conditionalFormatting>
  <conditionalFormatting sqref="H2:H10">
    <cfRule type="expression" dxfId="19" priority="21">
      <formula>H2=300000000000000000000</formula>
    </cfRule>
  </conditionalFormatting>
  <conditionalFormatting sqref="L2:Y10">
    <cfRule type="expression" dxfId="18" priority="19">
      <formula>MOD(ROW(),2)=0</formula>
    </cfRule>
  </conditionalFormatting>
  <conditionalFormatting sqref="Y2:Y10">
    <cfRule type="expression" dxfId="17" priority="14">
      <formula>Y2=0</formula>
    </cfRule>
    <cfRule type="expression" dxfId="16" priority="16">
      <formula>Y2=1</formula>
    </cfRule>
  </conditionalFormatting>
  <conditionalFormatting sqref="Y3:Y10">
    <cfRule type="expression" dxfId="15" priority="15">
      <formula>Y3=1</formula>
    </cfRule>
  </conditionalFormatting>
  <conditionalFormatting sqref="W2:W10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0 W2:W10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4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2.332031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59.21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83</v>
      </c>
      <c r="F2" t="s">
        <v>72</v>
      </c>
      <c r="G2">
        <v>3.9514266637169801</v>
      </c>
      <c r="H2">
        <v>2E+20</v>
      </c>
      <c r="I2">
        <v>0</v>
      </c>
      <c r="J2">
        <v>7</v>
      </c>
      <c r="K2">
        <v>3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3.9514266637169801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3.9514266637169801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3.9514266637169801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66</v>
      </c>
      <c r="B3" t="s">
        <v>69</v>
      </c>
      <c r="C3">
        <v>1</v>
      </c>
      <c r="D3" t="s">
        <v>78</v>
      </c>
      <c r="E3" t="s">
        <v>84</v>
      </c>
      <c r="F3" t="s">
        <v>80</v>
      </c>
      <c r="G3">
        <v>1.8249311352026401</v>
      </c>
      <c r="H3">
        <v>2E+20</v>
      </c>
      <c r="I3">
        <v>0</v>
      </c>
      <c r="J3">
        <v>5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ProjectPROCESSO MAQ.A.QueueNumber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1.8249311352026401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1.8249311352026401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1.8249311352026401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66</v>
      </c>
      <c r="B4" t="s">
        <v>69</v>
      </c>
      <c r="C4">
        <v>1</v>
      </c>
      <c r="D4" t="s">
        <v>81</v>
      </c>
      <c r="E4" t="s">
        <v>84</v>
      </c>
      <c r="F4" t="s">
        <v>80</v>
      </c>
      <c r="G4">
        <v>3.60602424485943E-2</v>
      </c>
      <c r="H4">
        <v>2E+20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ProjectProcesso Inspecao.QueueNumber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3.60602424485943E-2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3.60602424485943E-2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3.60602424485943E-2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69</v>
      </c>
      <c r="C5">
        <v>1</v>
      </c>
      <c r="D5" t="s">
        <v>82</v>
      </c>
      <c r="E5" t="s">
        <v>84</v>
      </c>
      <c r="F5" t="s">
        <v>80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69</v>
      </c>
      <c r="C6">
        <v>1</v>
      </c>
      <c r="D6" t="s">
        <v>85</v>
      </c>
      <c r="E6" t="s">
        <v>86</v>
      </c>
      <c r="F6" t="s">
        <v>87</v>
      </c>
      <c r="G6">
        <v>0.77840723850676696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ProjectRecurso_InspecaoInstantaneous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0.77840723850676696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0.77840723850676696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0.77840723850676696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66</v>
      </c>
      <c r="B7" t="s">
        <v>69</v>
      </c>
      <c r="C7">
        <v>1</v>
      </c>
      <c r="D7" t="s">
        <v>85</v>
      </c>
      <c r="E7" t="s">
        <v>88</v>
      </c>
      <c r="F7" t="s">
        <v>87</v>
      </c>
      <c r="G7">
        <v>0.77840723850676696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ProjectRecurso_InspecaoNumber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0.77840723850676696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0.77840723850676696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0.77840723850676696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66</v>
      </c>
      <c r="B8" t="s">
        <v>69</v>
      </c>
      <c r="C8">
        <v>1</v>
      </c>
      <c r="D8" t="s">
        <v>85</v>
      </c>
      <c r="E8" t="s">
        <v>89</v>
      </c>
      <c r="F8" t="s">
        <v>87</v>
      </c>
      <c r="G8">
        <v>1</v>
      </c>
      <c r="H8">
        <v>2E+20</v>
      </c>
      <c r="I8">
        <v>1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ProjectRecurso_InspecaoNumber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">
      <c r="A9" t="s">
        <v>66</v>
      </c>
      <c r="B9" t="s">
        <v>69</v>
      </c>
      <c r="C9">
        <v>1</v>
      </c>
      <c r="D9" t="s">
        <v>90</v>
      </c>
      <c r="E9" t="s">
        <v>86</v>
      </c>
      <c r="F9" t="s">
        <v>87</v>
      </c>
      <c r="G9">
        <v>0.89084376060730497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ProjectRecurso_MAQ_AInstantaneous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0.89084376060730497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0.89084376060730497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0.89084376060730497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">
      <c r="A10" t="s">
        <v>66</v>
      </c>
      <c r="B10" t="s">
        <v>69</v>
      </c>
      <c r="C10">
        <v>1</v>
      </c>
      <c r="D10" t="s">
        <v>90</v>
      </c>
      <c r="E10" t="s">
        <v>88</v>
      </c>
      <c r="F10" t="s">
        <v>87</v>
      </c>
      <c r="G10">
        <v>0.89084376060730497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ProjectRecurso_MAQ_ANumber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0.89084376060730497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0.89084376060730497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0.89084376060730497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">
      <c r="A11" t="s">
        <v>66</v>
      </c>
      <c r="B11" t="s">
        <v>69</v>
      </c>
      <c r="C11">
        <v>1</v>
      </c>
      <c r="D11" t="s">
        <v>90</v>
      </c>
      <c r="E11" t="s">
        <v>89</v>
      </c>
      <c r="F11" t="s">
        <v>87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ProjectRecurso_MAQ_ANumber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">
      <c r="A12" t="s">
        <v>66</v>
      </c>
      <c r="B12" t="s">
        <v>69</v>
      </c>
      <c r="C12">
        <v>1</v>
      </c>
      <c r="D12" t="s">
        <v>91</v>
      </c>
      <c r="E12" t="s">
        <v>86</v>
      </c>
      <c r="F12" t="s">
        <v>87</v>
      </c>
      <c r="G12">
        <v>0.129184286951673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ProjectRecurso_ReparoInstantaneous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0.129184286951673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0.129184286951673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0.129184286951673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">
      <c r="A13" t="s">
        <v>66</v>
      </c>
      <c r="B13" t="s">
        <v>69</v>
      </c>
      <c r="C13">
        <v>1</v>
      </c>
      <c r="D13" t="s">
        <v>91</v>
      </c>
      <c r="E13" t="s">
        <v>88</v>
      </c>
      <c r="F13" t="s">
        <v>87</v>
      </c>
      <c r="G13">
        <v>0.129184286951673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ProjectRecurso_ReparoNumber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0.129184286951673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0.129184286951673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0.129184286951673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">
      <c r="A14" t="s">
        <v>66</v>
      </c>
      <c r="B14" t="s">
        <v>69</v>
      </c>
      <c r="C14">
        <v>1</v>
      </c>
      <c r="D14" t="s">
        <v>91</v>
      </c>
      <c r="E14" t="s">
        <v>89</v>
      </c>
      <c r="F14" t="s">
        <v>87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ProjectRecurso_ReparoNumber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4">
    <cfRule type="expression" dxfId="11" priority="9">
      <formula>H2=200000000000000000000</formula>
    </cfRule>
  </conditionalFormatting>
  <conditionalFormatting sqref="H2:H14">
    <cfRule type="expression" dxfId="10" priority="7">
      <formula>H2=300000000000000000000</formula>
    </cfRule>
  </conditionalFormatting>
  <conditionalFormatting sqref="M2:U14">
    <cfRule type="expression" dxfId="9" priority="5">
      <formula>MOD(ROW(),2)=0</formula>
    </cfRule>
  </conditionalFormatting>
  <conditionalFormatting sqref="U2:U14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4 U2:U14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0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3.664062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73.3320312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92</v>
      </c>
      <c r="E2" t="s">
        <v>93</v>
      </c>
      <c r="F2" t="s">
        <v>72</v>
      </c>
      <c r="G2">
        <v>47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47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47</v>
      </c>
      <c r="P2" cm="1">
        <f t="array" ref="P2">MAX(IF((OutputTable[GroupByKey]=OutputTable[[#This Row],[GroupByKey]]),(OutputTable[GroupByKey]=OutputTable[[#This Row],[GroupByKey]])*OutputTable[RecordedValue]))</f>
        <v>47</v>
      </c>
    </row>
    <row r="3" spans="1:16" x14ac:dyDescent="0.3">
      <c r="A3" t="s">
        <v>66</v>
      </c>
      <c r="B3" t="s">
        <v>69</v>
      </c>
      <c r="C3">
        <v>1</v>
      </c>
      <c r="D3" t="s">
        <v>94</v>
      </c>
      <c r="E3" t="s">
        <v>95</v>
      </c>
      <c r="F3" t="s">
        <v>72</v>
      </c>
      <c r="G3">
        <v>44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44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44</v>
      </c>
      <c r="P3" cm="1">
        <f t="array" ref="P3">MAX(IF((OutputTable[GroupByKey]=OutputTable[[#This Row],[GroupByKey]]),(OutputTable[GroupByKey]=OutputTable[[#This Row],[GroupByKey]])*OutputTable[RecordedValue]))</f>
        <v>44</v>
      </c>
    </row>
    <row r="4" spans="1:16" x14ac:dyDescent="0.3">
      <c r="A4" t="s">
        <v>66</v>
      </c>
      <c r="B4" t="s">
        <v>69</v>
      </c>
      <c r="C4">
        <v>1</v>
      </c>
      <c r="D4" t="s">
        <v>96</v>
      </c>
      <c r="E4" t="s">
        <v>97</v>
      </c>
      <c r="F4" t="s">
        <v>87</v>
      </c>
      <c r="G4">
        <v>45</v>
      </c>
      <c r="H4">
        <v>0</v>
      </c>
      <c r="I4" t="str">
        <f>OutputTable[[#This Row],[ProjectName]]&amp;OutputTable[[#This Row],[Name]]&amp;OutputTable[[#This Row],[Type]]&amp;OutputTable[[#This Row],[Source]]</f>
        <v>Unnamed ProjectRecurso_Inspecao.NumberSeizedTotal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45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45</v>
      </c>
      <c r="P4" cm="1">
        <f t="array" ref="P4">MAX(IF((OutputTable[GroupByKey]=OutputTable[[#This Row],[GroupByKey]]),(OutputTable[GroupByKey]=OutputTable[[#This Row],[GroupByKey]])*OutputTable[RecordedValue]))</f>
        <v>45</v>
      </c>
    </row>
    <row r="5" spans="1:16" x14ac:dyDescent="0.3">
      <c r="A5" t="s">
        <v>66</v>
      </c>
      <c r="B5" t="s">
        <v>69</v>
      </c>
      <c r="C5">
        <v>1</v>
      </c>
      <c r="D5" t="s">
        <v>98</v>
      </c>
      <c r="E5" t="s">
        <v>99</v>
      </c>
      <c r="F5" t="s">
        <v>87</v>
      </c>
      <c r="G5">
        <v>0.77840723850676696</v>
      </c>
      <c r="H5">
        <v>0</v>
      </c>
      <c r="I5" t="str">
        <f>OutputTable[[#This Row],[ProjectName]]&amp;OutputTable[[#This Row],[Name]]&amp;OutputTable[[#This Row],[Type]]&amp;OutputTable[[#This Row],[Source]]</f>
        <v>Unnamed ProjectRecurso_Inspecao.ScheduledUtilizationScheduled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0.77840723850676696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0.77840723850676696</v>
      </c>
      <c r="P5" cm="1">
        <f t="array" ref="P5">MAX(IF((OutputTable[GroupByKey]=OutputTable[[#This Row],[GroupByKey]]),(OutputTable[GroupByKey]=OutputTable[[#This Row],[GroupByKey]])*OutputTable[RecordedValue]))</f>
        <v>0.77840723850676696</v>
      </c>
    </row>
    <row r="6" spans="1:16" x14ac:dyDescent="0.3">
      <c r="A6" t="s">
        <v>66</v>
      </c>
      <c r="B6" t="s">
        <v>69</v>
      </c>
      <c r="C6">
        <v>1</v>
      </c>
      <c r="D6" t="s">
        <v>100</v>
      </c>
      <c r="E6" t="s">
        <v>97</v>
      </c>
      <c r="F6" t="s">
        <v>87</v>
      </c>
      <c r="G6">
        <v>46</v>
      </c>
      <c r="H6">
        <v>0</v>
      </c>
      <c r="I6" t="str">
        <f>OutputTable[[#This Row],[ProjectName]]&amp;OutputTable[[#This Row],[Name]]&amp;OutputTable[[#This Row],[Type]]&amp;OutputTable[[#This Row],[Source]]</f>
        <v>Unnamed ProjectRecurso_MAQ_A.NumberSeizedTotal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46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46</v>
      </c>
      <c r="P6" cm="1">
        <f t="array" ref="P6">MAX(IF((OutputTable[GroupByKey]=OutputTable[[#This Row],[GroupByKey]]),(OutputTable[GroupByKey]=OutputTable[[#This Row],[GroupByKey]])*OutputTable[RecordedValue]))</f>
        <v>46</v>
      </c>
    </row>
    <row r="7" spans="1:16" x14ac:dyDescent="0.3">
      <c r="A7" t="s">
        <v>66</v>
      </c>
      <c r="B7" t="s">
        <v>69</v>
      </c>
      <c r="C7">
        <v>1</v>
      </c>
      <c r="D7" t="s">
        <v>101</v>
      </c>
      <c r="E7" t="s">
        <v>99</v>
      </c>
      <c r="F7" t="s">
        <v>87</v>
      </c>
      <c r="G7">
        <v>0.89084376060730497</v>
      </c>
      <c r="H7">
        <v>0</v>
      </c>
      <c r="I7" t="str">
        <f>OutputTable[[#This Row],[ProjectName]]&amp;OutputTable[[#This Row],[Name]]&amp;OutputTable[[#This Row],[Type]]&amp;OutputTable[[#This Row],[Source]]</f>
        <v>Unnamed ProjectRecurso_MAQ_A.ScheduledUtilizationScheduled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0.89084376060730497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0.89084376060730497</v>
      </c>
      <c r="P7" cm="1">
        <f t="array" ref="P7">MAX(IF((OutputTable[GroupByKey]=OutputTable[[#This Row],[GroupByKey]]),(OutputTable[GroupByKey]=OutputTable[[#This Row],[GroupByKey]])*OutputTable[RecordedValue]))</f>
        <v>0.89084376060730497</v>
      </c>
    </row>
    <row r="8" spans="1:16" x14ac:dyDescent="0.3">
      <c r="A8" t="s">
        <v>66</v>
      </c>
      <c r="B8" t="s">
        <v>69</v>
      </c>
      <c r="C8">
        <v>1</v>
      </c>
      <c r="D8" t="s">
        <v>102</v>
      </c>
      <c r="E8" t="s">
        <v>97</v>
      </c>
      <c r="F8" t="s">
        <v>87</v>
      </c>
      <c r="G8">
        <v>10</v>
      </c>
      <c r="H8">
        <v>0</v>
      </c>
      <c r="I8" t="str">
        <f>OutputTable[[#This Row],[ProjectName]]&amp;OutputTable[[#This Row],[Name]]&amp;OutputTable[[#This Row],[Type]]&amp;OutputTable[[#This Row],[Source]]</f>
        <v>Unnamed ProjectRecurso_Reparo.NumberSeizedTotal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10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10</v>
      </c>
      <c r="P8" cm="1">
        <f t="array" ref="P8">MAX(IF((OutputTable[GroupByKey]=OutputTable[[#This Row],[GroupByKey]]),(OutputTable[GroupByKey]=OutputTable[[#This Row],[GroupByKey]])*OutputTable[RecordedValue]))</f>
        <v>10</v>
      </c>
    </row>
    <row r="9" spans="1:16" x14ac:dyDescent="0.3">
      <c r="A9" t="s">
        <v>66</v>
      </c>
      <c r="B9" t="s">
        <v>69</v>
      </c>
      <c r="C9">
        <v>1</v>
      </c>
      <c r="D9" t="s">
        <v>103</v>
      </c>
      <c r="E9" t="s">
        <v>99</v>
      </c>
      <c r="F9" t="s">
        <v>87</v>
      </c>
      <c r="G9">
        <v>0.129184286951673</v>
      </c>
      <c r="H9">
        <v>0</v>
      </c>
      <c r="I9" t="str">
        <f>OutputTable[[#This Row],[ProjectName]]&amp;OutputTable[[#This Row],[Name]]&amp;OutputTable[[#This Row],[Type]]&amp;OutputTable[[#This Row],[Source]]</f>
        <v>Unnamed ProjectRecurso_Reparo.ScheduledUtilizationScheduled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0.129184286951673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0.129184286951673</v>
      </c>
      <c r="P9" cm="1">
        <f t="array" ref="P9">MAX(IF((OutputTable[GroupByKey]=OutputTable[[#This Row],[GroupByKey]]),(OutputTable[GroupByKey]=OutputTable[[#This Row],[GroupByKey]])*OutputTable[RecordedValue]))</f>
        <v>0.129184286951673</v>
      </c>
    </row>
    <row r="10" spans="1:16" x14ac:dyDescent="0.3">
      <c r="A10" t="s">
        <v>66</v>
      </c>
      <c r="B10" t="s">
        <v>69</v>
      </c>
      <c r="C10">
        <v>1</v>
      </c>
      <c r="D10" t="s">
        <v>104</v>
      </c>
      <c r="E10" t="s">
        <v>95</v>
      </c>
      <c r="F10" t="s">
        <v>105</v>
      </c>
      <c r="G10">
        <v>44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44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44</v>
      </c>
      <c r="P10" cm="1">
        <f t="array" ref="P10">MAX(IF((OutputTable[GroupByKey]=OutputTable[[#This Row],[GroupByKey]]),(OutputTable[GroupByKey]=OutputTable[[#This Row],[GroupByKey]])*OutputTable[RecordedValue]))</f>
        <v>44</v>
      </c>
    </row>
  </sheetData>
  <phoneticPr fontId="2" type="noConversion"/>
  <conditionalFormatting sqref="I2:P10">
    <cfRule type="expression" dxfId="3" priority="2">
      <formula>MOD(ROW(),2)=0</formula>
    </cfRule>
  </conditionalFormatting>
  <conditionalFormatting sqref="N2:N10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Sandro Junior</cp:lastModifiedBy>
  <cp:lastPrinted>2022-03-22T10:33:10Z</cp:lastPrinted>
  <dcterms:created xsi:type="dcterms:W3CDTF">2020-06-29T21:30:31Z</dcterms:created>
  <dcterms:modified xsi:type="dcterms:W3CDTF">2025-07-03T23:26:29Z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